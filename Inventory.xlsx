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t\Downloads\"/>
    </mc:Choice>
  </mc:AlternateContent>
  <xr:revisionPtr revIDLastSave="0" documentId="13_ncr:1_{657FCCEF-41BA-4999-94CD-9563CB049F5D}" xr6:coauthVersionLast="47" xr6:coauthVersionMax="47" xr10:uidLastSave="{00000000-0000-0000-0000-000000000000}"/>
  <bookViews>
    <workbookView xWindow="41640" yWindow="4605" windowWidth="17280" windowHeight="9960" xr2:uid="{00000000-000D-0000-FFFF-FFFF00000000}"/>
  </bookViews>
  <sheets>
    <sheet name="Sheet2" sheetId="1" r:id="rId1"/>
    <sheet name="Dashboard" sheetId="2" r:id="rId2"/>
    <sheet name="Analysi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2" l="1"/>
  <c r="D15" i="2"/>
  <c r="C15" i="2"/>
  <c r="H14" i="2"/>
  <c r="D14" i="2"/>
  <c r="C14" i="2"/>
  <c r="H13" i="2"/>
  <c r="E13" i="2"/>
  <c r="I13" i="2" s="1"/>
  <c r="D13" i="2"/>
  <c r="C13" i="2"/>
  <c r="H12" i="2"/>
  <c r="E12" i="2"/>
  <c r="I12" i="2" s="1"/>
  <c r="D12" i="2"/>
  <c r="C12" i="2"/>
  <c r="H11" i="2"/>
  <c r="D11" i="2"/>
  <c r="D16" i="2" s="1"/>
  <c r="C11" i="2"/>
  <c r="C16" i="2" s="1"/>
  <c r="F8" i="2"/>
  <c r="D8" i="2" a="1"/>
  <c r="D8" i="2" s="1"/>
  <c r="B8" i="2"/>
  <c r="B5" i="2"/>
  <c r="F39" i="1"/>
  <c r="D5" i="2" s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E15" i="2" s="1"/>
  <c r="I16" i="1"/>
  <c r="I15" i="1"/>
  <c r="I14" i="1"/>
  <c r="I13" i="1"/>
  <c r="I12" i="1"/>
  <c r="E14" i="2" s="1"/>
  <c r="I11" i="1"/>
  <c r="I10" i="1"/>
  <c r="I9" i="1"/>
  <c r="I8" i="1"/>
  <c r="I7" i="1"/>
  <c r="I6" i="1"/>
  <c r="I5" i="1"/>
  <c r="I4" i="1"/>
  <c r="I3" i="1"/>
  <c r="I2" i="1"/>
  <c r="C18" i="2" s="1"/>
  <c r="I14" i="2" l="1"/>
  <c r="I15" i="2"/>
  <c r="I39" i="1"/>
  <c r="F5" i="2" s="1"/>
  <c r="E11" i="2"/>
  <c r="F14" i="2" l="1"/>
  <c r="E16" i="2"/>
  <c r="F11" i="2"/>
  <c r="I11" i="2"/>
  <c r="F13" i="2"/>
  <c r="F12" i="2"/>
  <c r="F15" i="2"/>
</calcChain>
</file>

<file path=xl/sharedStrings.xml><?xml version="1.0" encoding="utf-8"?>
<sst xmlns="http://schemas.openxmlformats.org/spreadsheetml/2006/main" count="341" uniqueCount="202">
  <si>
    <t>Item ID</t>
  </si>
  <si>
    <t>Item Name</t>
  </si>
  <si>
    <t>Category</t>
  </si>
  <si>
    <t>Type</t>
  </si>
  <si>
    <t>SKU</t>
  </si>
  <si>
    <t>Quantity</t>
  </si>
  <si>
    <t>Unit</t>
  </si>
  <si>
    <t>Unit Cost</t>
  </si>
  <si>
    <t>Total Value</t>
  </si>
  <si>
    <t>Location</t>
  </si>
  <si>
    <t>Status</t>
  </si>
  <si>
    <t>WH-0001</t>
  </si>
  <si>
    <t>Industrial Pallet Jack</t>
  </si>
  <si>
    <t>Equipment</t>
  </si>
  <si>
    <t>Manual Handling</t>
  </si>
  <si>
    <t>SKU-EQ-1001</t>
  </si>
  <si>
    <t>Each</t>
  </si>
  <si>
    <t>Zone A - Rack 1</t>
  </si>
  <si>
    <t>In Stock</t>
  </si>
  <si>
    <t>WH-0002</t>
  </si>
  <si>
    <t>Stretch Wrap Film</t>
  </si>
  <si>
    <t>Packaging</t>
  </si>
  <si>
    <t>Consumable</t>
  </si>
  <si>
    <t>SKU-PK-2001</t>
  </si>
  <si>
    <t>Rolls</t>
  </si>
  <si>
    <t>Zone B - Shelf 3</t>
  </si>
  <si>
    <t>WH-0003</t>
  </si>
  <si>
    <t>Heavy-Duty Shelving Unit</t>
  </si>
  <si>
    <t>Storage</t>
  </si>
  <si>
    <t>SKU-EQ-1002</t>
  </si>
  <si>
    <t>Zone A - Rack 2</t>
  </si>
  <si>
    <t>WH-0004</t>
  </si>
  <si>
    <t>Corrugated Cardboard Box (Large)</t>
  </si>
  <si>
    <t>SKU-PK-2002</t>
  </si>
  <si>
    <t>Units</t>
  </si>
  <si>
    <t>Zone C - Shelf 1</t>
  </si>
  <si>
    <t>WH-0005</t>
  </si>
  <si>
    <t>Forklift Propane Tank</t>
  </si>
  <si>
    <t>Fuel</t>
  </si>
  <si>
    <t>SKU-EQ-1003</t>
  </si>
  <si>
    <t>Zone F - Storage</t>
  </si>
  <si>
    <t>Low Stock</t>
  </si>
  <si>
    <t>WH-0006</t>
  </si>
  <si>
    <t>Bubble Wrap Roll</t>
  </si>
  <si>
    <t>SKU-PK-2003</t>
  </si>
  <si>
    <t>Zone B - Shelf 4</t>
  </si>
  <si>
    <t>WH-0007</t>
  </si>
  <si>
    <t>Safety Gloves (Medium)</t>
  </si>
  <si>
    <t>Safety</t>
  </si>
  <si>
    <t>PPE</t>
  </si>
  <si>
    <t>SKU-SF-3001</t>
  </si>
  <si>
    <t>Pairs</t>
  </si>
  <si>
    <t>Zone D - Cabinet 1</t>
  </si>
  <si>
    <t>WH-0008</t>
  </si>
  <si>
    <t>Barcode Scanner (Handheld)</t>
  </si>
  <si>
    <t>Technology</t>
  </si>
  <si>
    <t>Electronics</t>
  </si>
  <si>
    <t>SKU-TK-4001</t>
  </si>
  <si>
    <t>Zone E - Cabinet 2</t>
  </si>
  <si>
    <t>WH-0009</t>
  </si>
  <si>
    <t>Industrial Tape Dispenser</t>
  </si>
  <si>
    <t>Tool</t>
  </si>
  <si>
    <t>SKU-PK-2004</t>
  </si>
  <si>
    <t>Zone B - Shelf 2</t>
  </si>
  <si>
    <t>WH-0010</t>
  </si>
  <si>
    <t>Steel Toe Safety Boots (Size 10)</t>
  </si>
  <si>
    <t>SKU-SF-3002</t>
  </si>
  <si>
    <t>Zone D - Cabinet 2</t>
  </si>
  <si>
    <t>WH-0011</t>
  </si>
  <si>
    <t>Warehouse Label Printer</t>
  </si>
  <si>
    <t>SKU-TK-4002</t>
  </si>
  <si>
    <t>Zone E - Rack 1</t>
  </si>
  <si>
    <t>WH-0012</t>
  </si>
  <si>
    <t>Packing Peanuts (Bulk Bag)</t>
  </si>
  <si>
    <t>SKU-PK-2005</t>
  </si>
  <si>
    <t>Bags</t>
  </si>
  <si>
    <t>Zone C - Shelf 2</t>
  </si>
  <si>
    <t>WH-0013</t>
  </si>
  <si>
    <t>High-Vis Safety Vest</t>
  </si>
  <si>
    <t>SKU-SF-3003</t>
  </si>
  <si>
    <t>WH-0014</t>
  </si>
  <si>
    <t>Hydraulic Dock Leveler</t>
  </si>
  <si>
    <t>Loading Dock</t>
  </si>
  <si>
    <t>SKU-EQ-1004</t>
  </si>
  <si>
    <t>Zone G - Dock Area</t>
  </si>
  <si>
    <t>WH-0015</t>
  </si>
  <si>
    <t>Shipping Label (4x6)</t>
  </si>
  <si>
    <t>SKU-PK-2006</t>
  </si>
  <si>
    <t>Zone B - Shelf 1</t>
  </si>
  <si>
    <t>WH-0016</t>
  </si>
  <si>
    <t>Industrial Floor Cleaner</t>
  </si>
  <si>
    <t>Maintenance</t>
  </si>
  <si>
    <t>Chemical</t>
  </si>
  <si>
    <t>SKU-MN-5001</t>
  </si>
  <si>
    <t>Gallons</t>
  </si>
  <si>
    <t>Zone H - Storage</t>
  </si>
  <si>
    <t>WH-0017</t>
  </si>
  <si>
    <t>CCTV Camera (Dome)</t>
  </si>
  <si>
    <t>Security</t>
  </si>
  <si>
    <t>SKU-TK-4003</t>
  </si>
  <si>
    <t>Zone E - Cabinet 1</t>
  </si>
  <si>
    <t>WH-0018</t>
  </si>
  <si>
    <t>Pallet (Wood Standard)</t>
  </si>
  <si>
    <t>SKU-EQ-1005</t>
  </si>
  <si>
    <t>Zone A - Floor</t>
  </si>
  <si>
    <t>WH-0019</t>
  </si>
  <si>
    <t>Anti-Fatigue Floor Mat</t>
  </si>
  <si>
    <t>Ergonomics</t>
  </si>
  <si>
    <t>SKU-SF-3004</t>
  </si>
  <si>
    <t>Zone D - Rack 1</t>
  </si>
  <si>
    <t>WH-0020</t>
  </si>
  <si>
    <t>Packing Tape (Clear)</t>
  </si>
  <si>
    <t>SKU-PK-2007</t>
  </si>
  <si>
    <t>Zone B - Shelf 5</t>
  </si>
  <si>
    <t>WH-0021</t>
  </si>
  <si>
    <t>Electric Pallet Truck</t>
  </si>
  <si>
    <t>Powered Handling</t>
  </si>
  <si>
    <t>SKU-EQ-1006</t>
  </si>
  <si>
    <t>Zone A - Charging Bay</t>
  </si>
  <si>
    <t>WH-0022</t>
  </si>
  <si>
    <t>Hazmat Storage Cabinet</t>
  </si>
  <si>
    <t>Containment</t>
  </si>
  <si>
    <t>SKU-SF-3005</t>
  </si>
  <si>
    <t>Zone H - Safety Area</t>
  </si>
  <si>
    <t>WH-0023</t>
  </si>
  <si>
    <t>Inventory Management Terminal</t>
  </si>
  <si>
    <t>SKU-TK-4004</t>
  </si>
  <si>
    <t>Zone E - Rack 2</t>
  </si>
  <si>
    <t>WH-0024</t>
  </si>
  <si>
    <t>Shrink Wrap Machine</t>
  </si>
  <si>
    <t>Packaging Machine</t>
  </si>
  <si>
    <t>SKU-EQ-1007</t>
  </si>
  <si>
    <t>Zone B - Floor</t>
  </si>
  <si>
    <t>WH-0025</t>
  </si>
  <si>
    <t>Bin Dividers (Plastic)</t>
  </si>
  <si>
    <t>SKU-EQ-1008</t>
  </si>
  <si>
    <t>Zone A - Rack 3</t>
  </si>
  <si>
    <t>WH-0026</t>
  </si>
  <si>
    <t>Safety Helmet</t>
  </si>
  <si>
    <t>SKU-SF-3006</t>
  </si>
  <si>
    <t>Zone D - Cabinet 3</t>
  </si>
  <si>
    <t>WH-0027</t>
  </si>
  <si>
    <t>Conveyor Belt Section (10ft)</t>
  </si>
  <si>
    <t>Material Flow</t>
  </si>
  <si>
    <t>SKU-EQ-1009</t>
  </si>
  <si>
    <t>Zone G - Floor</t>
  </si>
  <si>
    <t>WH-0028</t>
  </si>
  <si>
    <t>Lubricant Oil (5L)</t>
  </si>
  <si>
    <t>SKU-MN-5002</t>
  </si>
  <si>
    <t>Containers</t>
  </si>
  <si>
    <t>WH-0029</t>
  </si>
  <si>
    <t>Thermal Label Rolls</t>
  </si>
  <si>
    <t>SKU-PK-2008</t>
  </si>
  <si>
    <t>Zone B - Shelf 6</t>
  </si>
  <si>
    <t>WH-0030</t>
  </si>
  <si>
    <t>Fire Extinguisher (CO2)</t>
  </si>
  <si>
    <t>Fire Safety</t>
  </si>
  <si>
    <t>SKU-SF-3007</t>
  </si>
  <si>
    <t>Zone D - Wall Mount</t>
  </si>
  <si>
    <t>WH-0031</t>
  </si>
  <si>
    <t>Roller Conveyor (5ft)</t>
  </si>
  <si>
    <t>SKU-EQ-1010</t>
  </si>
  <si>
    <t>Zone G - Rack 1</t>
  </si>
  <si>
    <t>WH-0032</t>
  </si>
  <si>
    <t>Ear Protection (Foam)</t>
  </si>
  <si>
    <t>SKU-SF-3008</t>
  </si>
  <si>
    <t>WH-0033</t>
  </si>
  <si>
    <t>Stainless Steel Worktable</t>
  </si>
  <si>
    <t>SKU-EQ-1011</t>
  </si>
  <si>
    <t>WH-0034</t>
  </si>
  <si>
    <t>Spill Containment Kit</t>
  </si>
  <si>
    <t>Emergency</t>
  </si>
  <si>
    <t>SKU-MN-5003</t>
  </si>
  <si>
    <t>Kits</t>
  </si>
  <si>
    <t>WH-0035</t>
  </si>
  <si>
    <t>Wireless Headset (Warehouse)</t>
  </si>
  <si>
    <t>Communication</t>
  </si>
  <si>
    <t>SKU-TK-4005</t>
  </si>
  <si>
    <t>Zone E - Cabinet 3</t>
  </si>
  <si>
    <t>WH-0036</t>
  </si>
  <si>
    <t>Dock Bumper (Rubber)</t>
  </si>
  <si>
    <t>SKU-EQ-1012</t>
  </si>
  <si>
    <t>WH-0037</t>
  </si>
  <si>
    <t>Plastic Storage Bin (XL)</t>
  </si>
  <si>
    <t>SKU-EQ-1013</t>
  </si>
  <si>
    <t>Zone A - Rack 4</t>
  </si>
  <si>
    <t>TOTALS</t>
  </si>
  <si>
    <t>🏭  WAREHOUSE INVENTORY DASHBOARD</t>
  </si>
  <si>
    <t>Live summary — linked to Sheet2 inventory data</t>
  </si>
  <si>
    <t>TOTAL ITEMS</t>
  </si>
  <si>
    <t>TOTAL QTY</t>
  </si>
  <si>
    <t>TOTAL VALUE</t>
  </si>
  <si>
    <t>LOW STOCK</t>
  </si>
  <si>
    <t>CATEGORIES</t>
  </si>
  <si>
    <t>AVG UNIT COST</t>
  </si>
  <si>
    <t># Items</t>
  </si>
  <si>
    <t>Total Qty</t>
  </si>
  <si>
    <t>% of Value</t>
  </si>
  <si>
    <t>TOTAL</t>
  </si>
  <si>
    <t>🏆 Most Valuable:</t>
  </si>
  <si>
    <t>Item Count</t>
  </si>
  <si>
    <t>Avg Unit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</si>
</sst>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&quot;$&quot;#,##0"/>
    <numFmt numFmtId="166" formatCode="0.0%"/>
  </numFmts>
  <fonts count="10" x14ac:knownFonts="1"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006400"/>
      <name val="Calibri"/>
      <family val="2"/>
      <scheme val="minor"/>
    </font>
    <font>
      <b/>
      <sz val="12"/>
      <color rgb="FFCC000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rgb="FF555555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20"/>
      <color rgb="FFFFFFFF"/>
      <name val="Calibri"/>
      <family val="2"/>
      <scheme val="minor"/>
    </font>
    <font>
      <b/>
      <sz val="12"/>
      <color rgb="FF37562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9713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right"/>
    </xf>
    <xf numFmtId="0" fontId="0" fillId="2" borderId="0" xfId="0" applyFill="1"/>
    <xf numFmtId="164" fontId="1" fillId="2" borderId="0" xfId="0" applyNumberFormat="1" applyFont="1" applyFill="1"/>
    <xf numFmtId="3" fontId="1" fillId="2" borderId="0" xfId="0" applyNumberFormat="1" applyFont="1" applyFill="1" applyAlignment="1">
      <alignment horizontal="center"/>
    </xf>
    <xf numFmtId="0" fontId="0" fillId="3" borderId="0" xfId="0" applyFill="1"/>
    <xf numFmtId="3" fontId="0" fillId="3" borderId="0" xfId="0" applyNumberFormat="1" applyFill="1"/>
    <xf numFmtId="164" fontId="0" fillId="3" borderId="0" xfId="0" applyNumberFormat="1" applyFill="1"/>
    <xf numFmtId="0" fontId="0" fillId="4" borderId="0" xfId="0" applyFill="1"/>
    <xf numFmtId="3" fontId="0" fillId="4" borderId="0" xfId="0" applyNumberFormat="1" applyFill="1"/>
    <xf numFmtId="164" fontId="0" fillId="4" borderId="0" xfId="0" applyNumberFormat="1" applyFill="1"/>
    <xf numFmtId="0" fontId="2" fillId="3" borderId="0" xfId="0" applyFont="1" applyFill="1"/>
    <xf numFmtId="0" fontId="2" fillId="4" borderId="0" xfId="0" applyFont="1" applyFill="1"/>
    <xf numFmtId="0" fontId="3" fillId="3" borderId="0" xfId="0" applyFont="1" applyFill="1"/>
    <xf numFmtId="0" fontId="3" fillId="4" borderId="0" xfId="0" applyFont="1" applyFill="1"/>
    <xf numFmtId="0" fontId="4" fillId="0" borderId="0" xfId="0" applyFont="1"/>
    <xf numFmtId="165" fontId="0" fillId="3" borderId="0" xfId="0" applyNumberFormat="1" applyFill="1"/>
    <xf numFmtId="165" fontId="0" fillId="4" borderId="0" xfId="0" applyNumberFormat="1" applyFill="1"/>
    <xf numFmtId="165" fontId="1" fillId="2" borderId="0" xfId="0" applyNumberFormat="1" applyFont="1" applyFill="1"/>
    <xf numFmtId="3" fontId="1" fillId="2" borderId="0" xfId="0" applyNumberFormat="1" applyFont="1" applyFill="1"/>
    <xf numFmtId="0" fontId="6" fillId="2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6" fillId="9" borderId="0" xfId="0" applyFont="1" applyFill="1" applyAlignment="1">
      <alignment horizontal="center"/>
    </xf>
    <xf numFmtId="0" fontId="6" fillId="10" borderId="0" xfId="0" applyFont="1" applyFill="1" applyAlignment="1">
      <alignment horizontal="center"/>
    </xf>
    <xf numFmtId="166" fontId="0" fillId="3" borderId="0" xfId="0" applyNumberFormat="1" applyFill="1"/>
    <xf numFmtId="166" fontId="0" fillId="4" borderId="0" xfId="0" applyNumberFormat="1" applyFill="1"/>
    <xf numFmtId="10" fontId="1" fillId="2" borderId="0" xfId="0" applyNumberFormat="1" applyFont="1" applyFill="1"/>
    <xf numFmtId="1" fontId="8" fillId="2" borderId="0" xfId="0" applyNumberFormat="1" applyFont="1" applyFill="1" applyAlignment="1">
      <alignment horizontal="center"/>
    </xf>
    <xf numFmtId="3" fontId="8" fillId="6" borderId="0" xfId="0" applyNumberFormat="1" applyFont="1" applyFill="1" applyAlignment="1">
      <alignment horizontal="center"/>
    </xf>
    <xf numFmtId="165" fontId="8" fillId="7" borderId="0" xfId="0" applyNumberFormat="1" applyFont="1" applyFill="1" applyAlignment="1">
      <alignment horizontal="center"/>
    </xf>
    <xf numFmtId="1" fontId="8" fillId="8" borderId="0" xfId="0" applyNumberFormat="1" applyFont="1" applyFill="1" applyAlignment="1">
      <alignment horizontal="center"/>
    </xf>
    <xf numFmtId="1" fontId="8" fillId="9" borderId="0" xfId="0" applyNumberFormat="1" applyFont="1" applyFill="1" applyAlignment="1">
      <alignment horizontal="center"/>
    </xf>
    <xf numFmtId="164" fontId="8" fillId="10" borderId="0" xfId="0" applyNumberFormat="1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0" fillId="0" borderId="0" xfId="0"/>
    <xf numFmtId="0" fontId="9" fillId="0" borderId="0" xfId="0" applyFont="1"/>
    <xf numFmtId="0" fontId="7" fillId="2" borderId="0" xfId="0" applyFont="1" applyFill="1" applyAlignment="1">
      <alignment horizontal="center"/>
    </xf>
  </cellXfs>
  <cellStyles count="1">
    <cellStyle name="Normal" xfId="0" builtinId="0"/>
  </cellStyles>
  <dxfs count="12">
    <dxf>
      <font>
        <b/>
        <color rgb="FFCC0000"/>
      </font>
      <fill>
        <patternFill patternType="solid">
          <fgColor indexed="64"/>
          <bgColor rgb="FFFFE0E0"/>
        </patternFill>
      </fill>
    </dxf>
    <dxf>
      <fill>
        <patternFill patternType="solid">
          <fgColor indexed="64"/>
          <bgColor rgb="FFDDEEFF"/>
        </patternFill>
      </fill>
    </dxf>
    <dxf>
      <numFmt numFmtId="164" formatCode="&quot;$&quot;#,##0.00"/>
      <fill>
        <patternFill patternType="solid">
          <fgColor indexed="64"/>
          <bgColor rgb="FFDDEEFF"/>
        </patternFill>
      </fill>
    </dxf>
    <dxf>
      <numFmt numFmtId="164" formatCode="&quot;$&quot;#,##0.00"/>
      <fill>
        <patternFill patternType="solid">
          <fgColor indexed="64"/>
          <bgColor rgb="FFDDEEFF"/>
        </patternFill>
      </fill>
    </dxf>
    <dxf>
      <fill>
        <patternFill patternType="solid">
          <fgColor indexed="64"/>
          <bgColor rgb="FFDDEEFF"/>
        </patternFill>
      </fill>
    </dxf>
    <dxf>
      <numFmt numFmtId="3" formatCode="#,##0"/>
      <fill>
        <patternFill patternType="solid">
          <fgColor indexed="64"/>
          <bgColor rgb="FFDDEEFF"/>
        </patternFill>
      </fill>
    </dxf>
    <dxf>
      <fill>
        <patternFill patternType="solid">
          <fgColor indexed="64"/>
          <bgColor rgb="FFDDEEFF"/>
        </patternFill>
      </fill>
    </dxf>
    <dxf>
      <fill>
        <patternFill patternType="solid">
          <fgColor indexed="64"/>
          <bgColor rgb="FFDDEEFF"/>
        </patternFill>
      </fill>
    </dxf>
    <dxf>
      <fill>
        <patternFill patternType="solid">
          <fgColor indexed="64"/>
          <bgColor rgb="FFDDEEFF"/>
        </patternFill>
      </fill>
    </dxf>
    <dxf>
      <fill>
        <patternFill patternType="solid">
          <fgColor indexed="64"/>
          <bgColor rgb="FFDDEEFF"/>
        </patternFill>
      </fill>
    </dxf>
    <dxf>
      <fill>
        <patternFill patternType="solid">
          <fgColor indexed="64"/>
          <bgColor rgb="FFDDEEFF"/>
        </patternFill>
      </fill>
    </dxf>
    <dxf>
      <font>
        <b/>
        <strike val="0"/>
        <condense val="0"/>
        <extend val="0"/>
        <outline val="0"/>
        <shadow val="0"/>
        <vertAlign val="baseline"/>
        <sz val="12"/>
        <color rgb="FFFFFFFF"/>
        <name val="Calibri"/>
        <family val="2"/>
        <scheme val="minor"/>
      </font>
      <fill>
        <patternFill patternType="solid">
          <fgColor indexed="64"/>
          <bgColor rgb="FF1F3864"/>
        </patternFill>
      </fill>
      <alignment horizontal="center" vertical="botto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Inventory Value by Category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Item Count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Analysis!$A$2:$A$6</c:f>
              <c:strCache>
                <c:ptCount val="5"/>
                <c:pt idx="0">
                  <c:v>Equipment</c:v>
                </c:pt>
                <c:pt idx="1">
                  <c:v>Packaging</c:v>
                </c:pt>
                <c:pt idx="2">
                  <c:v>Safety</c:v>
                </c:pt>
                <c:pt idx="3">
                  <c:v>Technology</c:v>
                </c:pt>
                <c:pt idx="4">
                  <c:v>Maintenance</c:v>
                </c:pt>
              </c:strCache>
            </c:strRef>
          </c:cat>
          <c:val>
            <c:numRef>
              <c:f>Analysis!$B$2:$B$6</c:f>
              <c:numCache>
                <c:formatCode>General</c:formatCode>
                <c:ptCount val="5"/>
                <c:pt idx="0">
                  <c:v>14</c:v>
                </c:pt>
                <c:pt idx="1">
                  <c:v>8</c:v>
                </c:pt>
                <c:pt idx="2">
                  <c:v>8</c:v>
                </c:pt>
                <c:pt idx="3">
                  <c:v>5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3F-44B0-8FCE-D28CD27B1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66327504"/>
        <c:axId val="2123294144"/>
      </c:barChart>
      <c:catAx>
        <c:axId val="2066327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294144"/>
        <c:crosses val="autoZero"/>
        <c:auto val="1"/>
        <c:lblAlgn val="ctr"/>
        <c:lblOffset val="100"/>
        <c:noMultiLvlLbl val="0"/>
      </c:catAx>
      <c:valAx>
        <c:axId val="2123294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32750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Inventory Value by Category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Dashboard!$I$10</c:f>
              <c:strCache>
                <c:ptCount val="1"/>
                <c:pt idx="0">
                  <c:v>Total Value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9A9-4607-859A-9330898E12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9A9-4607-859A-9330898E12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9A9-4607-859A-9330898E12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9A9-4607-859A-9330898E12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9A9-4607-859A-9330898E129A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Dashboard!$H$11:$H$15</c:f>
              <c:strCache>
                <c:ptCount val="5"/>
                <c:pt idx="0">
                  <c:v>Equipment</c:v>
                </c:pt>
                <c:pt idx="1">
                  <c:v>Packaging</c:v>
                </c:pt>
                <c:pt idx="2">
                  <c:v>Safety</c:v>
                </c:pt>
                <c:pt idx="3">
                  <c:v>Technology</c:v>
                </c:pt>
                <c:pt idx="4">
                  <c:v>Maintenance</c:v>
                </c:pt>
              </c:strCache>
            </c:strRef>
          </c:cat>
          <c:val>
            <c:numRef>
              <c:f>Dashboard!$I$11:$I$15</c:f>
              <c:numCache>
                <c:formatCode>General</c:formatCode>
                <c:ptCount val="5"/>
                <c:pt idx="0">
                  <c:v>265648</c:v>
                </c:pt>
                <c:pt idx="1">
                  <c:v>62194</c:v>
                </c:pt>
                <c:pt idx="2">
                  <c:v>39335</c:v>
                </c:pt>
                <c:pt idx="3">
                  <c:v>44040</c:v>
                </c:pt>
                <c:pt idx="4">
                  <c:v>10708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9A9-4607-859A-9330898E1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182880</xdr:rowOff>
    </xdr:from>
    <xdr:to>
      <xdr:col>6</xdr:col>
      <xdr:colOff>560070</xdr:colOff>
      <xdr:row>21</xdr:row>
      <xdr:rowOff>135255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14</xdr:row>
      <xdr:rowOff>190500</xdr:rowOff>
    </xdr:from>
    <xdr:to>
      <xdr:col>3</xdr:col>
      <xdr:colOff>1513205</xdr:colOff>
      <xdr:row>32</xdr:row>
      <xdr:rowOff>153670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arehouseInventory" displayName="WarehouseInventory" ref="A1:K38" totalsRowShown="0" headerRowDxfId="11">
  <autoFilter ref="A1:K38" xr:uid="{00000000-0009-0000-0100-000001000000}"/>
  <tableColumns count="11">
    <tableColumn id="1" xr3:uid="{00000000-0010-0000-0000-000001000000}" name="Item ID" dataDxfId="10"/>
    <tableColumn id="2" xr3:uid="{00000000-0010-0000-0000-000002000000}" name="Item Name" dataDxfId="9"/>
    <tableColumn id="3" xr3:uid="{00000000-0010-0000-0000-000003000000}" name="Category" dataDxfId="8"/>
    <tableColumn id="4" xr3:uid="{00000000-0010-0000-0000-000004000000}" name="Type" dataDxfId="7"/>
    <tableColumn id="5" xr3:uid="{00000000-0010-0000-0000-000005000000}" name="SKU" dataDxfId="6"/>
    <tableColumn id="6" xr3:uid="{00000000-0010-0000-0000-000006000000}" name="Quantity" dataDxfId="5"/>
    <tableColumn id="7" xr3:uid="{00000000-0010-0000-0000-000007000000}" name="Unit" dataDxfId="4"/>
    <tableColumn id="8" xr3:uid="{00000000-0010-0000-0000-000008000000}" name="Unit Cost" dataDxfId="3"/>
    <tableColumn id="9" xr3:uid="{00000000-0010-0000-0000-000009000000}" name="Total Value" dataDxfId="2">
      <calculatedColumnFormula>F2*H2</calculatedColumnFormula>
    </tableColumn>
    <tableColumn id="10" xr3:uid="{00000000-0010-0000-0000-00000A000000}" name="Location" dataDxfId="1"/>
    <tableColumn id="11" xr3:uid="{00000000-0010-0000-0000-00000B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1" workbookViewId="0">
      <pane ySplit="1" topLeftCell="A38" activePane="bottomLeft" state="frozen"/>
      <selection pane="bottomLeft" activeCell="D44" sqref="D44"/>
    </sheetView>
  </sheetViews>
  <sheetFormatPr defaultRowHeight="15.6" x14ac:dyDescent="0.3"/>
  <cols>
    <col min="1" max="1" width="8.796875" customWidth="1"/>
    <col min="2" max="2" width="29.8984375" bestFit="1" customWidth="1"/>
    <col min="3" max="3" width="11.8984375" bestFit="1" customWidth="1"/>
    <col min="4" max="4" width="16.796875" bestFit="1" customWidth="1"/>
    <col min="5" max="5" width="12.296875" bestFit="1" customWidth="1"/>
    <col min="6" max="6" width="10.296875" customWidth="1"/>
    <col min="7" max="7" width="10" bestFit="1" customWidth="1"/>
    <col min="8" max="8" width="10.3984375" customWidth="1"/>
    <col min="9" max="9" width="12.296875" customWidth="1"/>
    <col min="10" max="10" width="19.296875" bestFit="1" customWidth="1"/>
    <col min="11" max="11" width="9.59765625" bestFit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7" t="s">
        <v>11</v>
      </c>
      <c r="B2" s="7" t="s">
        <v>12</v>
      </c>
      <c r="C2" s="7" t="s">
        <v>13</v>
      </c>
      <c r="D2" s="7" t="s">
        <v>14</v>
      </c>
      <c r="E2" s="7" t="s">
        <v>15</v>
      </c>
      <c r="F2" s="8">
        <v>24</v>
      </c>
      <c r="G2" s="7" t="s">
        <v>16</v>
      </c>
      <c r="H2" s="9">
        <v>850</v>
      </c>
      <c r="I2" s="9">
        <f t="shared" ref="I2:I38" si="0">F2*H2</f>
        <v>20400</v>
      </c>
      <c r="J2" s="7" t="s">
        <v>17</v>
      </c>
      <c r="K2" s="13" t="s">
        <v>18</v>
      </c>
    </row>
    <row r="3" spans="1:11" x14ac:dyDescent="0.3">
      <c r="A3" s="10" t="s">
        <v>19</v>
      </c>
      <c r="B3" s="10" t="s">
        <v>20</v>
      </c>
      <c r="C3" s="10" t="s">
        <v>21</v>
      </c>
      <c r="D3" s="10" t="s">
        <v>22</v>
      </c>
      <c r="E3" s="10" t="s">
        <v>23</v>
      </c>
      <c r="F3" s="11">
        <v>1200</v>
      </c>
      <c r="G3" s="10" t="s">
        <v>24</v>
      </c>
      <c r="H3" s="12">
        <v>12.5</v>
      </c>
      <c r="I3" s="12">
        <f t="shared" si="0"/>
        <v>15000</v>
      </c>
      <c r="J3" s="10" t="s">
        <v>25</v>
      </c>
      <c r="K3" s="14" t="s">
        <v>18</v>
      </c>
    </row>
    <row r="4" spans="1:11" x14ac:dyDescent="0.3">
      <c r="A4" s="7" t="s">
        <v>26</v>
      </c>
      <c r="B4" s="7" t="s">
        <v>27</v>
      </c>
      <c r="C4" s="7" t="s">
        <v>13</v>
      </c>
      <c r="D4" s="7" t="s">
        <v>28</v>
      </c>
      <c r="E4" s="7" t="s">
        <v>29</v>
      </c>
      <c r="F4" s="8">
        <v>85</v>
      </c>
      <c r="G4" s="7" t="s">
        <v>16</v>
      </c>
      <c r="H4" s="9">
        <v>320</v>
      </c>
      <c r="I4" s="9">
        <f t="shared" si="0"/>
        <v>27200</v>
      </c>
      <c r="J4" s="7" t="s">
        <v>30</v>
      </c>
      <c r="K4" s="13" t="s">
        <v>18</v>
      </c>
    </row>
    <row r="5" spans="1:11" x14ac:dyDescent="0.3">
      <c r="A5" s="10" t="s">
        <v>31</v>
      </c>
      <c r="B5" s="10" t="s">
        <v>32</v>
      </c>
      <c r="C5" s="10" t="s">
        <v>21</v>
      </c>
      <c r="D5" s="10" t="s">
        <v>22</v>
      </c>
      <c r="E5" s="10" t="s">
        <v>33</v>
      </c>
      <c r="F5" s="11">
        <v>5400</v>
      </c>
      <c r="G5" s="10" t="s">
        <v>34</v>
      </c>
      <c r="H5" s="12">
        <v>1.8</v>
      </c>
      <c r="I5" s="12">
        <f t="shared" si="0"/>
        <v>9720</v>
      </c>
      <c r="J5" s="10" t="s">
        <v>35</v>
      </c>
      <c r="K5" s="14" t="s">
        <v>18</v>
      </c>
    </row>
    <row r="6" spans="1:11" x14ac:dyDescent="0.3">
      <c r="A6" s="7" t="s">
        <v>36</v>
      </c>
      <c r="B6" s="7" t="s">
        <v>37</v>
      </c>
      <c r="C6" s="7" t="s">
        <v>13</v>
      </c>
      <c r="D6" s="7" t="s">
        <v>38</v>
      </c>
      <c r="E6" s="7" t="s">
        <v>39</v>
      </c>
      <c r="F6" s="8">
        <v>18</v>
      </c>
      <c r="G6" s="7" t="s">
        <v>16</v>
      </c>
      <c r="H6" s="9">
        <v>95</v>
      </c>
      <c r="I6" s="9">
        <f t="shared" si="0"/>
        <v>1710</v>
      </c>
      <c r="J6" s="7" t="s">
        <v>40</v>
      </c>
      <c r="K6" s="15" t="s">
        <v>41</v>
      </c>
    </row>
    <row r="7" spans="1:11" x14ac:dyDescent="0.3">
      <c r="A7" s="10" t="s">
        <v>42</v>
      </c>
      <c r="B7" s="10" t="s">
        <v>43</v>
      </c>
      <c r="C7" s="10" t="s">
        <v>21</v>
      </c>
      <c r="D7" s="10" t="s">
        <v>22</v>
      </c>
      <c r="E7" s="10" t="s">
        <v>44</v>
      </c>
      <c r="F7" s="11">
        <v>340</v>
      </c>
      <c r="G7" s="10" t="s">
        <v>24</v>
      </c>
      <c r="H7" s="12">
        <v>22</v>
      </c>
      <c r="I7" s="12">
        <f t="shared" si="0"/>
        <v>7480</v>
      </c>
      <c r="J7" s="10" t="s">
        <v>45</v>
      </c>
      <c r="K7" s="14" t="s">
        <v>18</v>
      </c>
    </row>
    <row r="8" spans="1:11" x14ac:dyDescent="0.3">
      <c r="A8" s="7" t="s">
        <v>46</v>
      </c>
      <c r="B8" s="7" t="s">
        <v>47</v>
      </c>
      <c r="C8" s="7" t="s">
        <v>48</v>
      </c>
      <c r="D8" s="7" t="s">
        <v>49</v>
      </c>
      <c r="E8" s="7" t="s">
        <v>50</v>
      </c>
      <c r="F8" s="8">
        <v>620</v>
      </c>
      <c r="G8" s="7" t="s">
        <v>51</v>
      </c>
      <c r="H8" s="9">
        <v>4.75</v>
      </c>
      <c r="I8" s="9">
        <f t="shared" si="0"/>
        <v>2945</v>
      </c>
      <c r="J8" s="7" t="s">
        <v>52</v>
      </c>
      <c r="K8" s="13" t="s">
        <v>18</v>
      </c>
    </row>
    <row r="9" spans="1:11" x14ac:dyDescent="0.3">
      <c r="A9" s="10" t="s">
        <v>53</v>
      </c>
      <c r="B9" s="10" t="s">
        <v>54</v>
      </c>
      <c r="C9" s="10" t="s">
        <v>55</v>
      </c>
      <c r="D9" s="10" t="s">
        <v>56</v>
      </c>
      <c r="E9" s="10" t="s">
        <v>57</v>
      </c>
      <c r="F9" s="11">
        <v>32</v>
      </c>
      <c r="G9" s="10" t="s">
        <v>16</v>
      </c>
      <c r="H9" s="12">
        <v>275</v>
      </c>
      <c r="I9" s="12">
        <f t="shared" si="0"/>
        <v>8800</v>
      </c>
      <c r="J9" s="10" t="s">
        <v>58</v>
      </c>
      <c r="K9" s="14" t="s">
        <v>18</v>
      </c>
    </row>
    <row r="10" spans="1:11" x14ac:dyDescent="0.3">
      <c r="A10" s="7" t="s">
        <v>59</v>
      </c>
      <c r="B10" s="7" t="s">
        <v>60</v>
      </c>
      <c r="C10" s="7" t="s">
        <v>21</v>
      </c>
      <c r="D10" s="7" t="s">
        <v>61</v>
      </c>
      <c r="E10" s="7" t="s">
        <v>62</v>
      </c>
      <c r="F10" s="8">
        <v>47</v>
      </c>
      <c r="G10" s="7" t="s">
        <v>16</v>
      </c>
      <c r="H10" s="9">
        <v>38</v>
      </c>
      <c r="I10" s="9">
        <f t="shared" si="0"/>
        <v>1786</v>
      </c>
      <c r="J10" s="7" t="s">
        <v>63</v>
      </c>
      <c r="K10" s="13" t="s">
        <v>18</v>
      </c>
    </row>
    <row r="11" spans="1:11" x14ac:dyDescent="0.3">
      <c r="A11" s="10" t="s">
        <v>64</v>
      </c>
      <c r="B11" s="10" t="s">
        <v>65</v>
      </c>
      <c r="C11" s="10" t="s">
        <v>48</v>
      </c>
      <c r="D11" s="10" t="s">
        <v>49</v>
      </c>
      <c r="E11" s="10" t="s">
        <v>66</v>
      </c>
      <c r="F11" s="11">
        <v>55</v>
      </c>
      <c r="G11" s="10" t="s">
        <v>51</v>
      </c>
      <c r="H11" s="12">
        <v>89</v>
      </c>
      <c r="I11" s="12">
        <f t="shared" si="0"/>
        <v>4895</v>
      </c>
      <c r="J11" s="10" t="s">
        <v>67</v>
      </c>
      <c r="K11" s="16" t="s">
        <v>41</v>
      </c>
    </row>
    <row r="12" spans="1:11" x14ac:dyDescent="0.3">
      <c r="A12" s="7" t="s">
        <v>68</v>
      </c>
      <c r="B12" s="7" t="s">
        <v>69</v>
      </c>
      <c r="C12" s="7" t="s">
        <v>55</v>
      </c>
      <c r="D12" s="7" t="s">
        <v>56</v>
      </c>
      <c r="E12" s="7" t="s">
        <v>70</v>
      </c>
      <c r="F12" s="8">
        <v>14</v>
      </c>
      <c r="G12" s="7" t="s">
        <v>16</v>
      </c>
      <c r="H12" s="9">
        <v>425</v>
      </c>
      <c r="I12" s="9">
        <f t="shared" si="0"/>
        <v>5950</v>
      </c>
      <c r="J12" s="7" t="s">
        <v>71</v>
      </c>
      <c r="K12" s="13" t="s">
        <v>18</v>
      </c>
    </row>
    <row r="13" spans="1:11" x14ac:dyDescent="0.3">
      <c r="A13" s="10" t="s">
        <v>72</v>
      </c>
      <c r="B13" s="10" t="s">
        <v>73</v>
      </c>
      <c r="C13" s="10" t="s">
        <v>21</v>
      </c>
      <c r="D13" s="10" t="s">
        <v>22</v>
      </c>
      <c r="E13" s="10" t="s">
        <v>74</v>
      </c>
      <c r="F13" s="11">
        <v>890</v>
      </c>
      <c r="G13" s="10" t="s">
        <v>75</v>
      </c>
      <c r="H13" s="12">
        <v>8.1999999999999993</v>
      </c>
      <c r="I13" s="12">
        <f t="shared" si="0"/>
        <v>7297.9999999999991</v>
      </c>
      <c r="J13" s="10" t="s">
        <v>76</v>
      </c>
      <c r="K13" s="14" t="s">
        <v>18</v>
      </c>
    </row>
    <row r="14" spans="1:11" x14ac:dyDescent="0.3">
      <c r="A14" s="7" t="s">
        <v>77</v>
      </c>
      <c r="B14" s="7" t="s">
        <v>78</v>
      </c>
      <c r="C14" s="7" t="s">
        <v>48</v>
      </c>
      <c r="D14" s="7" t="s">
        <v>49</v>
      </c>
      <c r="E14" s="7" t="s">
        <v>79</v>
      </c>
      <c r="F14" s="8">
        <v>210</v>
      </c>
      <c r="G14" s="7" t="s">
        <v>16</v>
      </c>
      <c r="H14" s="9">
        <v>14.5</v>
      </c>
      <c r="I14" s="9">
        <f t="shared" si="0"/>
        <v>3045</v>
      </c>
      <c r="J14" s="7" t="s">
        <v>52</v>
      </c>
      <c r="K14" s="13" t="s">
        <v>18</v>
      </c>
    </row>
    <row r="15" spans="1:11" x14ac:dyDescent="0.3">
      <c r="A15" s="10" t="s">
        <v>80</v>
      </c>
      <c r="B15" s="10" t="s">
        <v>81</v>
      </c>
      <c r="C15" s="10" t="s">
        <v>13</v>
      </c>
      <c r="D15" s="10" t="s">
        <v>82</v>
      </c>
      <c r="E15" s="10" t="s">
        <v>83</v>
      </c>
      <c r="F15" s="11">
        <v>6</v>
      </c>
      <c r="G15" s="10" t="s">
        <v>16</v>
      </c>
      <c r="H15" s="12">
        <v>3200</v>
      </c>
      <c r="I15" s="12">
        <f t="shared" si="0"/>
        <v>19200</v>
      </c>
      <c r="J15" s="10" t="s">
        <v>84</v>
      </c>
      <c r="K15" s="14" t="s">
        <v>18</v>
      </c>
    </row>
    <row r="16" spans="1:11" x14ac:dyDescent="0.3">
      <c r="A16" s="7" t="s">
        <v>85</v>
      </c>
      <c r="B16" s="7" t="s">
        <v>86</v>
      </c>
      <c r="C16" s="7" t="s">
        <v>21</v>
      </c>
      <c r="D16" s="7" t="s">
        <v>22</v>
      </c>
      <c r="E16" s="7" t="s">
        <v>87</v>
      </c>
      <c r="F16" s="8">
        <v>25000</v>
      </c>
      <c r="G16" s="7" t="s">
        <v>34</v>
      </c>
      <c r="H16" s="9">
        <v>0.09</v>
      </c>
      <c r="I16" s="9">
        <f t="shared" si="0"/>
        <v>2250</v>
      </c>
      <c r="J16" s="7" t="s">
        <v>88</v>
      </c>
      <c r="K16" s="13" t="s">
        <v>18</v>
      </c>
    </row>
    <row r="17" spans="1:11" x14ac:dyDescent="0.3">
      <c r="A17" s="10" t="s">
        <v>89</v>
      </c>
      <c r="B17" s="10" t="s">
        <v>90</v>
      </c>
      <c r="C17" s="10" t="s">
        <v>91</v>
      </c>
      <c r="D17" s="10" t="s">
        <v>92</v>
      </c>
      <c r="E17" s="10" t="s">
        <v>93</v>
      </c>
      <c r="F17" s="11">
        <v>75</v>
      </c>
      <c r="G17" s="10" t="s">
        <v>94</v>
      </c>
      <c r="H17" s="12">
        <v>28</v>
      </c>
      <c r="I17" s="12">
        <f t="shared" si="0"/>
        <v>2100</v>
      </c>
      <c r="J17" s="10" t="s">
        <v>95</v>
      </c>
      <c r="K17" s="14" t="s">
        <v>18</v>
      </c>
    </row>
    <row r="18" spans="1:11" x14ac:dyDescent="0.3">
      <c r="A18" s="7" t="s">
        <v>96</v>
      </c>
      <c r="B18" s="7" t="s">
        <v>97</v>
      </c>
      <c r="C18" s="7" t="s">
        <v>55</v>
      </c>
      <c r="D18" s="7" t="s">
        <v>98</v>
      </c>
      <c r="E18" s="7" t="s">
        <v>99</v>
      </c>
      <c r="F18" s="8">
        <v>42</v>
      </c>
      <c r="G18" s="7" t="s">
        <v>16</v>
      </c>
      <c r="H18" s="9">
        <v>195</v>
      </c>
      <c r="I18" s="9">
        <f t="shared" si="0"/>
        <v>8190</v>
      </c>
      <c r="J18" s="7" t="s">
        <v>100</v>
      </c>
      <c r="K18" s="13" t="s">
        <v>18</v>
      </c>
    </row>
    <row r="19" spans="1:11" x14ac:dyDescent="0.3">
      <c r="A19" s="10" t="s">
        <v>101</v>
      </c>
      <c r="B19" s="10" t="s">
        <v>102</v>
      </c>
      <c r="C19" s="10" t="s">
        <v>13</v>
      </c>
      <c r="D19" s="10" t="s">
        <v>28</v>
      </c>
      <c r="E19" s="10" t="s">
        <v>103</v>
      </c>
      <c r="F19" s="11">
        <v>3800</v>
      </c>
      <c r="G19" s="10" t="s">
        <v>16</v>
      </c>
      <c r="H19" s="12">
        <v>15</v>
      </c>
      <c r="I19" s="12">
        <f t="shared" si="0"/>
        <v>57000</v>
      </c>
      <c r="J19" s="10" t="s">
        <v>104</v>
      </c>
      <c r="K19" s="14" t="s">
        <v>18</v>
      </c>
    </row>
    <row r="20" spans="1:11" x14ac:dyDescent="0.3">
      <c r="A20" s="7" t="s">
        <v>105</v>
      </c>
      <c r="B20" s="7" t="s">
        <v>106</v>
      </c>
      <c r="C20" s="7" t="s">
        <v>48</v>
      </c>
      <c r="D20" s="7" t="s">
        <v>107</v>
      </c>
      <c r="E20" s="7" t="s">
        <v>108</v>
      </c>
      <c r="F20" s="8">
        <v>130</v>
      </c>
      <c r="G20" s="7" t="s">
        <v>16</v>
      </c>
      <c r="H20" s="9">
        <v>62</v>
      </c>
      <c r="I20" s="9">
        <f t="shared" si="0"/>
        <v>8060</v>
      </c>
      <c r="J20" s="7" t="s">
        <v>109</v>
      </c>
      <c r="K20" s="13" t="s">
        <v>18</v>
      </c>
    </row>
    <row r="21" spans="1:11" x14ac:dyDescent="0.3">
      <c r="A21" s="10" t="s">
        <v>110</v>
      </c>
      <c r="B21" s="10" t="s">
        <v>111</v>
      </c>
      <c r="C21" s="10" t="s">
        <v>21</v>
      </c>
      <c r="D21" s="10" t="s">
        <v>22</v>
      </c>
      <c r="E21" s="10" t="s">
        <v>112</v>
      </c>
      <c r="F21" s="11">
        <v>4200</v>
      </c>
      <c r="G21" s="10" t="s">
        <v>24</v>
      </c>
      <c r="H21" s="12">
        <v>2.4</v>
      </c>
      <c r="I21" s="12">
        <f t="shared" si="0"/>
        <v>10080</v>
      </c>
      <c r="J21" s="10" t="s">
        <v>113</v>
      </c>
      <c r="K21" s="14" t="s">
        <v>18</v>
      </c>
    </row>
    <row r="22" spans="1:11" x14ac:dyDescent="0.3">
      <c r="A22" s="7" t="s">
        <v>114</v>
      </c>
      <c r="B22" s="7" t="s">
        <v>115</v>
      </c>
      <c r="C22" s="7" t="s">
        <v>13</v>
      </c>
      <c r="D22" s="7" t="s">
        <v>116</v>
      </c>
      <c r="E22" s="7" t="s">
        <v>117</v>
      </c>
      <c r="F22" s="8">
        <v>9</v>
      </c>
      <c r="G22" s="7" t="s">
        <v>16</v>
      </c>
      <c r="H22" s="9">
        <v>4800</v>
      </c>
      <c r="I22" s="9">
        <f t="shared" si="0"/>
        <v>43200</v>
      </c>
      <c r="J22" s="7" t="s">
        <v>118</v>
      </c>
      <c r="K22" s="13" t="s">
        <v>18</v>
      </c>
    </row>
    <row r="23" spans="1:11" x14ac:dyDescent="0.3">
      <c r="A23" s="10" t="s">
        <v>119</v>
      </c>
      <c r="B23" s="10" t="s">
        <v>120</v>
      </c>
      <c r="C23" s="10" t="s">
        <v>48</v>
      </c>
      <c r="D23" s="10" t="s">
        <v>121</v>
      </c>
      <c r="E23" s="10" t="s">
        <v>122</v>
      </c>
      <c r="F23" s="11">
        <v>12</v>
      </c>
      <c r="G23" s="10" t="s">
        <v>16</v>
      </c>
      <c r="H23" s="12">
        <v>780</v>
      </c>
      <c r="I23" s="12">
        <f t="shared" si="0"/>
        <v>9360</v>
      </c>
      <c r="J23" s="10" t="s">
        <v>123</v>
      </c>
      <c r="K23" s="14" t="s">
        <v>18</v>
      </c>
    </row>
    <row r="24" spans="1:11" x14ac:dyDescent="0.3">
      <c r="A24" s="7" t="s">
        <v>124</v>
      </c>
      <c r="B24" s="7" t="s">
        <v>125</v>
      </c>
      <c r="C24" s="7" t="s">
        <v>55</v>
      </c>
      <c r="D24" s="7" t="s">
        <v>56</v>
      </c>
      <c r="E24" s="7" t="s">
        <v>126</v>
      </c>
      <c r="F24" s="8">
        <v>8</v>
      </c>
      <c r="G24" s="7" t="s">
        <v>16</v>
      </c>
      <c r="H24" s="9">
        <v>1250</v>
      </c>
      <c r="I24" s="9">
        <f t="shared" si="0"/>
        <v>10000</v>
      </c>
      <c r="J24" s="7" t="s">
        <v>127</v>
      </c>
      <c r="K24" s="13" t="s">
        <v>18</v>
      </c>
    </row>
    <row r="25" spans="1:11" x14ac:dyDescent="0.3">
      <c r="A25" s="10" t="s">
        <v>128</v>
      </c>
      <c r="B25" s="10" t="s">
        <v>129</v>
      </c>
      <c r="C25" s="10" t="s">
        <v>13</v>
      </c>
      <c r="D25" s="10" t="s">
        <v>130</v>
      </c>
      <c r="E25" s="10" t="s">
        <v>131</v>
      </c>
      <c r="F25" s="11">
        <v>5</v>
      </c>
      <c r="G25" s="10" t="s">
        <v>16</v>
      </c>
      <c r="H25" s="12">
        <v>2100</v>
      </c>
      <c r="I25" s="12">
        <f t="shared" si="0"/>
        <v>10500</v>
      </c>
      <c r="J25" s="10" t="s">
        <v>132</v>
      </c>
      <c r="K25" s="14" t="s">
        <v>18</v>
      </c>
    </row>
    <row r="26" spans="1:11" x14ac:dyDescent="0.3">
      <c r="A26" s="7" t="s">
        <v>133</v>
      </c>
      <c r="B26" s="7" t="s">
        <v>134</v>
      </c>
      <c r="C26" s="7" t="s">
        <v>13</v>
      </c>
      <c r="D26" s="7" t="s">
        <v>28</v>
      </c>
      <c r="E26" s="7" t="s">
        <v>135</v>
      </c>
      <c r="F26" s="8">
        <v>2600</v>
      </c>
      <c r="G26" s="7" t="s">
        <v>16</v>
      </c>
      <c r="H26" s="9">
        <v>3.2</v>
      </c>
      <c r="I26" s="9">
        <f t="shared" si="0"/>
        <v>8320</v>
      </c>
      <c r="J26" s="7" t="s">
        <v>136</v>
      </c>
      <c r="K26" s="13" t="s">
        <v>18</v>
      </c>
    </row>
    <row r="27" spans="1:11" x14ac:dyDescent="0.3">
      <c r="A27" s="10" t="s">
        <v>137</v>
      </c>
      <c r="B27" s="10" t="s">
        <v>138</v>
      </c>
      <c r="C27" s="10" t="s">
        <v>48</v>
      </c>
      <c r="D27" s="10" t="s">
        <v>49</v>
      </c>
      <c r="E27" s="10" t="s">
        <v>139</v>
      </c>
      <c r="F27" s="11">
        <v>180</v>
      </c>
      <c r="G27" s="10" t="s">
        <v>16</v>
      </c>
      <c r="H27" s="12">
        <v>27</v>
      </c>
      <c r="I27" s="12">
        <f t="shared" si="0"/>
        <v>4860</v>
      </c>
      <c r="J27" s="10" t="s">
        <v>140</v>
      </c>
      <c r="K27" s="14" t="s">
        <v>18</v>
      </c>
    </row>
    <row r="28" spans="1:11" x14ac:dyDescent="0.3">
      <c r="A28" s="7" t="s">
        <v>141</v>
      </c>
      <c r="B28" s="7" t="s">
        <v>142</v>
      </c>
      <c r="C28" s="7" t="s">
        <v>13</v>
      </c>
      <c r="D28" s="7" t="s">
        <v>143</v>
      </c>
      <c r="E28" s="7" t="s">
        <v>144</v>
      </c>
      <c r="F28" s="8">
        <v>22</v>
      </c>
      <c r="G28" s="7" t="s">
        <v>16</v>
      </c>
      <c r="H28" s="9">
        <v>950</v>
      </c>
      <c r="I28" s="9">
        <f t="shared" si="0"/>
        <v>20900</v>
      </c>
      <c r="J28" s="7" t="s">
        <v>145</v>
      </c>
      <c r="K28" s="13" t="s">
        <v>18</v>
      </c>
    </row>
    <row r="29" spans="1:11" x14ac:dyDescent="0.3">
      <c r="A29" s="10" t="s">
        <v>146</v>
      </c>
      <c r="B29" s="10" t="s">
        <v>147</v>
      </c>
      <c r="C29" s="10" t="s">
        <v>91</v>
      </c>
      <c r="D29" s="10" t="s">
        <v>92</v>
      </c>
      <c r="E29" s="10" t="s">
        <v>148</v>
      </c>
      <c r="F29" s="11">
        <v>160</v>
      </c>
      <c r="G29" s="10" t="s">
        <v>149</v>
      </c>
      <c r="H29" s="12">
        <v>34</v>
      </c>
      <c r="I29" s="12">
        <f t="shared" si="0"/>
        <v>5440</v>
      </c>
      <c r="J29" s="10" t="s">
        <v>95</v>
      </c>
      <c r="K29" s="16" t="s">
        <v>41</v>
      </c>
    </row>
    <row r="30" spans="1:11" x14ac:dyDescent="0.3">
      <c r="A30" s="7" t="s">
        <v>150</v>
      </c>
      <c r="B30" s="7" t="s">
        <v>151</v>
      </c>
      <c r="C30" s="7" t="s">
        <v>21</v>
      </c>
      <c r="D30" s="7" t="s">
        <v>22</v>
      </c>
      <c r="E30" s="7" t="s">
        <v>152</v>
      </c>
      <c r="F30" s="8">
        <v>7800</v>
      </c>
      <c r="G30" s="7" t="s">
        <v>24</v>
      </c>
      <c r="H30" s="9">
        <v>1.1000000000000001</v>
      </c>
      <c r="I30" s="9">
        <f t="shared" si="0"/>
        <v>8580</v>
      </c>
      <c r="J30" s="7" t="s">
        <v>153</v>
      </c>
      <c r="K30" s="13" t="s">
        <v>18</v>
      </c>
    </row>
    <row r="31" spans="1:11" x14ac:dyDescent="0.3">
      <c r="A31" s="10" t="s">
        <v>154</v>
      </c>
      <c r="B31" s="10" t="s">
        <v>155</v>
      </c>
      <c r="C31" s="10" t="s">
        <v>48</v>
      </c>
      <c r="D31" s="10" t="s">
        <v>156</v>
      </c>
      <c r="E31" s="10" t="s">
        <v>157</v>
      </c>
      <c r="F31" s="11">
        <v>38</v>
      </c>
      <c r="G31" s="10" t="s">
        <v>16</v>
      </c>
      <c r="H31" s="12">
        <v>115</v>
      </c>
      <c r="I31" s="12">
        <f t="shared" si="0"/>
        <v>4370</v>
      </c>
      <c r="J31" s="10" t="s">
        <v>158</v>
      </c>
      <c r="K31" s="14" t="s">
        <v>18</v>
      </c>
    </row>
    <row r="32" spans="1:11" x14ac:dyDescent="0.3">
      <c r="A32" s="7" t="s">
        <v>159</v>
      </c>
      <c r="B32" s="7" t="s">
        <v>160</v>
      </c>
      <c r="C32" s="7" t="s">
        <v>13</v>
      </c>
      <c r="D32" s="7" t="s">
        <v>143</v>
      </c>
      <c r="E32" s="7" t="s">
        <v>161</v>
      </c>
      <c r="F32" s="8">
        <v>35</v>
      </c>
      <c r="G32" s="7" t="s">
        <v>16</v>
      </c>
      <c r="H32" s="9">
        <v>680</v>
      </c>
      <c r="I32" s="9">
        <f t="shared" si="0"/>
        <v>23800</v>
      </c>
      <c r="J32" s="7" t="s">
        <v>162</v>
      </c>
      <c r="K32" s="13" t="s">
        <v>18</v>
      </c>
    </row>
    <row r="33" spans="1:11" x14ac:dyDescent="0.3">
      <c r="A33" s="10" t="s">
        <v>163</v>
      </c>
      <c r="B33" s="10" t="s">
        <v>164</v>
      </c>
      <c r="C33" s="10" t="s">
        <v>48</v>
      </c>
      <c r="D33" s="10" t="s">
        <v>49</v>
      </c>
      <c r="E33" s="10" t="s">
        <v>165</v>
      </c>
      <c r="F33" s="11">
        <v>1500</v>
      </c>
      <c r="G33" s="10" t="s">
        <v>51</v>
      </c>
      <c r="H33" s="12">
        <v>1.2</v>
      </c>
      <c r="I33" s="12">
        <f t="shared" si="0"/>
        <v>1800</v>
      </c>
      <c r="J33" s="10" t="s">
        <v>52</v>
      </c>
      <c r="K33" s="14" t="s">
        <v>18</v>
      </c>
    </row>
    <row r="34" spans="1:11" x14ac:dyDescent="0.3">
      <c r="A34" s="7" t="s">
        <v>166</v>
      </c>
      <c r="B34" s="7" t="s">
        <v>167</v>
      </c>
      <c r="C34" s="7" t="s">
        <v>13</v>
      </c>
      <c r="D34" s="7" t="s">
        <v>28</v>
      </c>
      <c r="E34" s="7" t="s">
        <v>168</v>
      </c>
      <c r="F34" s="8">
        <v>28</v>
      </c>
      <c r="G34" s="7" t="s">
        <v>16</v>
      </c>
      <c r="H34" s="9">
        <v>540</v>
      </c>
      <c r="I34" s="9">
        <f t="shared" si="0"/>
        <v>15120</v>
      </c>
      <c r="J34" s="7" t="s">
        <v>104</v>
      </c>
      <c r="K34" s="13" t="s">
        <v>18</v>
      </c>
    </row>
    <row r="35" spans="1:11" x14ac:dyDescent="0.3">
      <c r="A35" s="10" t="s">
        <v>169</v>
      </c>
      <c r="B35" s="10" t="s">
        <v>170</v>
      </c>
      <c r="C35" s="10" t="s">
        <v>91</v>
      </c>
      <c r="D35" s="10" t="s">
        <v>171</v>
      </c>
      <c r="E35" s="10" t="s">
        <v>172</v>
      </c>
      <c r="F35" s="11">
        <v>44</v>
      </c>
      <c r="G35" s="10" t="s">
        <v>173</v>
      </c>
      <c r="H35" s="12">
        <v>72</v>
      </c>
      <c r="I35" s="12">
        <f t="shared" si="0"/>
        <v>3168</v>
      </c>
      <c r="J35" s="10" t="s">
        <v>123</v>
      </c>
      <c r="K35" s="14" t="s">
        <v>18</v>
      </c>
    </row>
    <row r="36" spans="1:11" x14ac:dyDescent="0.3">
      <c r="A36" s="7" t="s">
        <v>174</v>
      </c>
      <c r="B36" s="7" t="s">
        <v>175</v>
      </c>
      <c r="C36" s="7" t="s">
        <v>55</v>
      </c>
      <c r="D36" s="7" t="s">
        <v>176</v>
      </c>
      <c r="E36" s="7" t="s">
        <v>177</v>
      </c>
      <c r="F36" s="8">
        <v>60</v>
      </c>
      <c r="G36" s="7" t="s">
        <v>16</v>
      </c>
      <c r="H36" s="9">
        <v>185</v>
      </c>
      <c r="I36" s="9">
        <f t="shared" si="0"/>
        <v>11100</v>
      </c>
      <c r="J36" s="7" t="s">
        <v>178</v>
      </c>
      <c r="K36" s="15" t="s">
        <v>41</v>
      </c>
    </row>
    <row r="37" spans="1:11" x14ac:dyDescent="0.3">
      <c r="A37" s="10" t="s">
        <v>179</v>
      </c>
      <c r="B37" s="10" t="s">
        <v>180</v>
      </c>
      <c r="C37" s="10" t="s">
        <v>13</v>
      </c>
      <c r="D37" s="10" t="s">
        <v>82</v>
      </c>
      <c r="E37" s="10" t="s">
        <v>181</v>
      </c>
      <c r="F37" s="11">
        <v>96</v>
      </c>
      <c r="G37" s="10" t="s">
        <v>16</v>
      </c>
      <c r="H37" s="12">
        <v>48</v>
      </c>
      <c r="I37" s="12">
        <f t="shared" si="0"/>
        <v>4608</v>
      </c>
      <c r="J37" s="10" t="s">
        <v>84</v>
      </c>
      <c r="K37" s="14" t="s">
        <v>18</v>
      </c>
    </row>
    <row r="38" spans="1:11" x14ac:dyDescent="0.3">
      <c r="A38" s="7" t="s">
        <v>182</v>
      </c>
      <c r="B38" s="7" t="s">
        <v>183</v>
      </c>
      <c r="C38" s="7" t="s">
        <v>13</v>
      </c>
      <c r="D38" s="7" t="s">
        <v>28</v>
      </c>
      <c r="E38" s="7" t="s">
        <v>184</v>
      </c>
      <c r="F38" s="8">
        <v>740</v>
      </c>
      <c r="G38" s="7" t="s">
        <v>16</v>
      </c>
      <c r="H38" s="9">
        <v>18.5</v>
      </c>
      <c r="I38" s="9">
        <f t="shared" si="0"/>
        <v>13690</v>
      </c>
      <c r="J38" s="7" t="s">
        <v>185</v>
      </c>
      <c r="K38" s="13" t="s">
        <v>18</v>
      </c>
    </row>
    <row r="39" spans="1:11" x14ac:dyDescent="0.3">
      <c r="A39" s="1"/>
      <c r="B39" s="3" t="s">
        <v>186</v>
      </c>
      <c r="C39" s="4"/>
      <c r="D39" s="4"/>
      <c r="E39" s="4"/>
      <c r="F39" s="6">
        <f>SUM(F2:F38)</f>
        <v>55525</v>
      </c>
      <c r="G39" s="4"/>
      <c r="H39" s="4"/>
      <c r="I39" s="5">
        <f>SUM(I2:I38)</f>
        <v>421925</v>
      </c>
      <c r="J39" s="4"/>
      <c r="K39" s="4"/>
    </row>
  </sheetData>
  <conditionalFormatting sqref="A2:K38">
    <cfRule type="expression" dxfId="0" priority="2">
      <formula>$K2="Low Stock"</formula>
    </cfRule>
  </conditionalFormatting>
  <conditionalFormatting sqref="I2:I38">
    <cfRule type="colorScale" priority="1">
      <colorScale>
        <cfvo type="min"/>
        <cfvo type="percentile" val="50"/>
        <cfvo type="max"/>
        <color rgb="FFFFFFFF"/>
        <color rgb="FFFFFF00"/>
        <color rgb="FF00B050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workbookViewId="0">
      <selection activeCell="L20" sqref="L20"/>
    </sheetView>
  </sheetViews>
  <sheetFormatPr defaultRowHeight="15.6" x14ac:dyDescent="0.3"/>
  <cols>
    <col min="1" max="1" width="2.5" customWidth="1"/>
    <col min="2" max="6" width="21.69921875" customWidth="1"/>
    <col min="8" max="9" width="16.69921875" customWidth="1"/>
  </cols>
  <sheetData>
    <row r="1" spans="1:9" ht="42" customHeight="1" x14ac:dyDescent="0.4">
      <c r="A1" s="40" t="s">
        <v>187</v>
      </c>
      <c r="B1" s="38"/>
      <c r="C1" s="38"/>
      <c r="D1" s="38"/>
      <c r="E1" s="38"/>
      <c r="F1" s="38"/>
    </row>
    <row r="2" spans="1:9" ht="19.95" customHeight="1" x14ac:dyDescent="0.3">
      <c r="A2" s="37" t="s">
        <v>188</v>
      </c>
      <c r="B2" s="38"/>
      <c r="C2" s="38"/>
      <c r="D2" s="38"/>
      <c r="E2" s="38"/>
      <c r="F2" s="38"/>
    </row>
    <row r="4" spans="1:9" ht="24" customHeight="1" x14ac:dyDescent="0.3">
      <c r="B4" s="22" t="s">
        <v>189</v>
      </c>
      <c r="D4" s="23" t="s">
        <v>190</v>
      </c>
      <c r="F4" s="24" t="s">
        <v>191</v>
      </c>
    </row>
    <row r="5" spans="1:9" ht="40.049999999999997" customHeight="1" x14ac:dyDescent="0.5">
      <c r="B5" s="31">
        <f>COUNTA(Sheet2!A2:A38)</f>
        <v>37</v>
      </c>
      <c r="D5" s="32">
        <f>Sheet2!F39</f>
        <v>55525</v>
      </c>
      <c r="F5" s="33">
        <f>Sheet2!I39</f>
        <v>421925</v>
      </c>
    </row>
    <row r="7" spans="1:9" ht="24" customHeight="1" x14ac:dyDescent="0.3">
      <c r="B7" s="25" t="s">
        <v>192</v>
      </c>
      <c r="D7" s="26" t="s">
        <v>193</v>
      </c>
      <c r="F7" s="27" t="s">
        <v>194</v>
      </c>
    </row>
    <row r="8" spans="1:9" ht="40.049999999999997" customHeight="1" x14ac:dyDescent="0.5">
      <c r="B8" s="34">
        <f>COUNTIF(Sheet2!K2:K38,"Low Stock")</f>
        <v>4</v>
      </c>
      <c r="D8" s="35">
        <f t="array" ref="D8">SUMPRODUCT(1/COUNTIF(Sheet2!C2:C38,Sheet2!C2:C38))</f>
        <v>5</v>
      </c>
      <c r="F8" s="36">
        <f>AVERAGE(Sheet2!H2:H38)</f>
        <v>466.5740540540541</v>
      </c>
    </row>
    <row r="10" spans="1:9" x14ac:dyDescent="0.3">
      <c r="B10" s="2" t="s">
        <v>2</v>
      </c>
      <c r="C10" s="2" t="s">
        <v>195</v>
      </c>
      <c r="D10" s="2" t="s">
        <v>196</v>
      </c>
      <c r="E10" s="2" t="s">
        <v>8</v>
      </c>
      <c r="F10" s="2" t="s">
        <v>197</v>
      </c>
      <c r="H10" s="2" t="s">
        <v>2</v>
      </c>
      <c r="I10" s="2" t="s">
        <v>8</v>
      </c>
    </row>
    <row r="11" spans="1:9" x14ac:dyDescent="0.3">
      <c r="B11" s="7" t="s">
        <v>13</v>
      </c>
      <c r="C11" s="7">
        <f>COUNTIF(Sheet2!C2:C38,"Equipment")</f>
        <v>13</v>
      </c>
      <c r="D11" s="8">
        <f>SUMIF(Sheet2!C2:C38,"Equipment",Sheet2!F2:F38)</f>
        <v>7468</v>
      </c>
      <c r="E11" s="18">
        <f>SUMIF(Sheet2!C2:C38,"Equipment",Sheet2!I2:I38)</f>
        <v>265648</v>
      </c>
      <c r="F11" s="28">
        <f>E11/Sheet2!I39</f>
        <v>0.62960952775967294</v>
      </c>
      <c r="H11" t="str">
        <f>B11</f>
        <v>Equipment</v>
      </c>
      <c r="I11">
        <f>E11</f>
        <v>265648</v>
      </c>
    </row>
    <row r="12" spans="1:9" x14ac:dyDescent="0.3">
      <c r="B12" s="10" t="s">
        <v>21</v>
      </c>
      <c r="C12" s="10">
        <f>COUNTIF(Sheet2!C2:C38,"Packaging")</f>
        <v>8</v>
      </c>
      <c r="D12" s="11">
        <f>SUMIF(Sheet2!C2:C38,"Packaging",Sheet2!F2:F38)</f>
        <v>44877</v>
      </c>
      <c r="E12" s="19">
        <f>SUMIF(Sheet2!C2:C38,"Packaging",Sheet2!I2:I38)</f>
        <v>62194</v>
      </c>
      <c r="F12" s="29">
        <f>E12/Sheet2!I39</f>
        <v>0.14740534455175683</v>
      </c>
      <c r="H12" t="str">
        <f>B12</f>
        <v>Packaging</v>
      </c>
      <c r="I12">
        <f>E12</f>
        <v>62194</v>
      </c>
    </row>
    <row r="13" spans="1:9" x14ac:dyDescent="0.3">
      <c r="B13" s="7" t="s">
        <v>48</v>
      </c>
      <c r="C13" s="7">
        <f>COUNTIF(Sheet2!C2:C38,"Safety")</f>
        <v>8</v>
      </c>
      <c r="D13" s="8">
        <f>SUMIF(Sheet2!C2:C38,"Safety",Sheet2!F2:F38)</f>
        <v>2745</v>
      </c>
      <c r="E13" s="18">
        <f>SUMIF(Sheet2!C2:C38,"Safety",Sheet2!I2:I38)</f>
        <v>39335</v>
      </c>
      <c r="F13" s="28">
        <f>E13/Sheet2!I39</f>
        <v>9.3227469336967475E-2</v>
      </c>
      <c r="H13" t="str">
        <f>B13</f>
        <v>Safety</v>
      </c>
      <c r="I13">
        <f>E13</f>
        <v>39335</v>
      </c>
    </row>
    <row r="14" spans="1:9" x14ac:dyDescent="0.3">
      <c r="B14" s="10" t="s">
        <v>55</v>
      </c>
      <c r="C14" s="10">
        <f>COUNTIF(Sheet2!C2:C38,"Technology")</f>
        <v>5</v>
      </c>
      <c r="D14" s="11">
        <f>SUMIF(Sheet2!C2:C38,"Technology",Sheet2!F2:F38)</f>
        <v>156</v>
      </c>
      <c r="E14" s="19">
        <f>SUMIF(Sheet2!C2:C38,"Technology",Sheet2!I2:I38)</f>
        <v>44040</v>
      </c>
      <c r="F14" s="29">
        <f>E14/Sheet2!I39</f>
        <v>0.10437874029744623</v>
      </c>
      <c r="H14" t="str">
        <f>B14</f>
        <v>Technology</v>
      </c>
      <c r="I14">
        <f>E14</f>
        <v>44040</v>
      </c>
    </row>
    <row r="15" spans="1:9" x14ac:dyDescent="0.3">
      <c r="B15" s="7" t="s">
        <v>91</v>
      </c>
      <c r="C15" s="7">
        <f>COUNTIF(Sheet2!C2:C38,"Maintenance")</f>
        <v>3</v>
      </c>
      <c r="D15" s="8">
        <f>SUMIF(Sheet2!C2:C38,"Maintenance",Sheet2!F2:F38)</f>
        <v>279</v>
      </c>
      <c r="E15" s="18">
        <f>SUMIF(Sheet2!C2:C38,"Maintenance",Sheet2!I2:I38)</f>
        <v>10708</v>
      </c>
      <c r="F15" s="28">
        <f>E15/Sheet2!I39</f>
        <v>2.5378918054156544E-2</v>
      </c>
      <c r="H15" t="str">
        <f>B15</f>
        <v>Maintenance</v>
      </c>
      <c r="I15">
        <f>E15</f>
        <v>10708</v>
      </c>
    </row>
    <row r="16" spans="1:9" x14ac:dyDescent="0.3">
      <c r="B16" s="1" t="s">
        <v>198</v>
      </c>
      <c r="C16" s="1">
        <f>SUM(C11:C15)</f>
        <v>37</v>
      </c>
      <c r="D16" s="21">
        <f>SUM(D11:D15)</f>
        <v>55525</v>
      </c>
      <c r="E16" s="20">
        <f>SUM(E11:E15)</f>
        <v>421925</v>
      </c>
      <c r="F16" s="30">
        <v>1</v>
      </c>
    </row>
    <row r="18" spans="2:6" x14ac:dyDescent="0.3">
      <c r="B18" s="17" t="s">
        <v>199</v>
      </c>
      <c r="C18" s="39" t="str">
        <f>INDEX(Sheet2!B2:B38,MATCH(MAX(Sheet2!I2:I38),Sheet2!I2:I38,0))&amp;"  ($"&amp;TEXT(MAX(Sheet2!I2:I38),"#,##0")&amp;")"</f>
        <v>Pallet (Wood Standard)  ($57,000)</v>
      </c>
      <c r="D18" s="38"/>
      <c r="E18" s="38"/>
      <c r="F18" s="38"/>
    </row>
  </sheetData>
  <mergeCells count="3">
    <mergeCell ref="A2:F2"/>
    <mergeCell ref="C18:F18"/>
    <mergeCell ref="A1:F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selection activeCell="J20" sqref="J20"/>
    </sheetView>
  </sheetViews>
  <sheetFormatPr defaultRowHeight="15.6" x14ac:dyDescent="0.3"/>
  <cols>
    <col min="1" max="1" width="11.8984375" bestFit="1" customWidth="1"/>
    <col min="2" max="2" width="10.3984375" bestFit="1" customWidth="1"/>
    <col min="3" max="3" width="8.8984375" bestFit="1" customWidth="1"/>
    <col min="4" max="4" width="10.5" bestFit="1" customWidth="1"/>
    <col min="5" max="5" width="12.3984375" bestFit="1" customWidth="1"/>
  </cols>
  <sheetData>
    <row r="1" spans="1:5" x14ac:dyDescent="0.3">
      <c r="A1" s="2" t="s">
        <v>2</v>
      </c>
      <c r="B1" s="2" t="s">
        <v>200</v>
      </c>
      <c r="C1" s="2" t="s">
        <v>196</v>
      </c>
      <c r="D1" s="2" t="s">
        <v>8</v>
      </c>
      <c r="E1" s="2" t="s">
        <v>201</v>
      </c>
    </row>
    <row r="2" spans="1:5" x14ac:dyDescent="0.3">
      <c r="A2" s="7" t="s">
        <v>13</v>
      </c>
      <c r="B2" s="7">
        <v>14</v>
      </c>
      <c r="C2" s="8">
        <v>7528</v>
      </c>
      <c r="D2" s="18">
        <v>271648</v>
      </c>
      <c r="E2" s="9">
        <v>984.07</v>
      </c>
    </row>
    <row r="3" spans="1:5" x14ac:dyDescent="0.3">
      <c r="A3" s="10" t="s">
        <v>21</v>
      </c>
      <c r="B3" s="10">
        <v>8</v>
      </c>
      <c r="C3" s="11">
        <v>44877</v>
      </c>
      <c r="D3" s="19">
        <v>62194</v>
      </c>
      <c r="E3" s="12">
        <v>8.51</v>
      </c>
    </row>
    <row r="4" spans="1:5" x14ac:dyDescent="0.3">
      <c r="A4" s="7" t="s">
        <v>48</v>
      </c>
      <c r="B4" s="7">
        <v>8</v>
      </c>
      <c r="C4" s="8">
        <v>2745</v>
      </c>
      <c r="D4" s="18">
        <v>39335</v>
      </c>
      <c r="E4" s="9">
        <v>144.18</v>
      </c>
    </row>
    <row r="5" spans="1:5" x14ac:dyDescent="0.3">
      <c r="A5" s="10" t="s">
        <v>55</v>
      </c>
      <c r="B5" s="10">
        <v>5</v>
      </c>
      <c r="C5" s="11">
        <v>156</v>
      </c>
      <c r="D5" s="19">
        <v>44040</v>
      </c>
      <c r="E5" s="12">
        <v>466</v>
      </c>
    </row>
    <row r="6" spans="1:5" x14ac:dyDescent="0.3">
      <c r="A6" s="7" t="s">
        <v>91</v>
      </c>
      <c r="B6" s="7">
        <v>3</v>
      </c>
      <c r="C6" s="8">
        <v>279</v>
      </c>
      <c r="D6" s="18">
        <v>10708</v>
      </c>
      <c r="E6" s="9">
        <v>44.67</v>
      </c>
    </row>
    <row r="7" spans="1:5" x14ac:dyDescent="0.3">
      <c r="A7" s="1" t="s">
        <v>186</v>
      </c>
      <c r="B7" s="1">
        <v>38</v>
      </c>
      <c r="C7" s="21">
        <v>55585</v>
      </c>
      <c r="D7" s="20">
        <v>427925</v>
      </c>
      <c r="E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Dashboard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Jonathan Kim</cp:lastModifiedBy>
  <dcterms:created xsi:type="dcterms:W3CDTF">2018-06-07T17:34:22Z</dcterms:created>
  <dcterms:modified xsi:type="dcterms:W3CDTF">2026-03-01T02:19:23Z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0x010100CD401524DC532D42A0E0ED886331A72B</vt:lpwstr>
  </property>
  <property fmtid="{D5CDD505-2E9C-101B-9397-08002B2CF9AE}" pid="3" name="MSIP_Label_f42aa342-8706-4288-bd11-ebb85995028c_Enabled">
    <vt:lpwstr>True</vt:lpwstr>
  </property>
  <property fmtid="{D5CDD505-2E9C-101B-9397-08002B2CF9AE}" pid="4" name="MSIP_Label_f42aa342-8706-4288-bd11-ebb85995028c_SiteId">
    <vt:lpwstr>72f988bf-86f1-41af-91ab-2d7cd011db47</vt:lpwstr>
  </property>
  <property fmtid="{D5CDD505-2E9C-101B-9397-08002B2CF9AE}" pid="5" name="MSIP_Label_f42aa342-8706-4288-bd11-ebb85995028c_Owner">
    <vt:lpwstr>t-dahop@microsoft.com</vt:lpwstr>
  </property>
  <property fmtid="{D5CDD505-2E9C-101B-9397-08002B2CF9AE}" pid="6" name="MSIP_Label_f42aa342-8706-4288-bd11-ebb85995028c_SetDate">
    <vt:lpwstr>2018-06-18T14:22:57.3833839Z</vt:lpwstr>
  </property>
  <property fmtid="{D5CDD505-2E9C-101B-9397-08002B2CF9AE}" pid="7" name="MSIP_Label_f42aa342-8706-4288-bd11-ebb85995028c_Name">
    <vt:lpwstr>General</vt:lpwstr>
  </property>
  <property fmtid="{D5CDD505-2E9C-101B-9397-08002B2CF9AE}" pid="8" name="MSIP_Label_f42aa342-8706-4288-bd11-ebb85995028c_Application">
    <vt:lpwstr>Microsoft Azure Information Protection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